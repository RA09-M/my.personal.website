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 Aging Report" sheetId="1" state="visible" r:id="rId1"/>
    <sheet xmlns:r="http://schemas.openxmlformats.org/officeDocument/2006/relationships" name="Dashboard" sheetId="2" state="visible" r:id="rId2"/>
  </sheets>
  <definedNames>
    <definedName name="_xlnm._FilterDatabase" localSheetId="0" hidden="1">'AR Aging Report'!$A$3:$J$11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$#,##0.00"/>
  </numFmts>
  <fonts count="4">
    <font>
      <name val="Calibri"/>
      <family val="2"/>
      <color theme="1"/>
      <sz val="11"/>
      <scheme val="minor"/>
    </font>
    <font>
      <b val="1"/>
      <sz val="18"/>
    </font>
    <font>
      <i val="1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Outstanding Receivables by Aging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'Dashboard'!$D$4:$D$8</f>
            </numRef>
          </cat>
          <val>
            <numRef>
              <f>'Dashboard'!$E$4:$E$8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Aging 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</cols>
  <sheetData>
    <row r="1">
      <c r="A1" s="1" t="inlineStr">
        <is>
          <t>Accounts Receivable Aging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Sample Portfolio Project – Fictional Data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Customer</t>
        </is>
      </c>
      <c r="B3" s="4" t="inlineStr">
        <is>
          <t>Invoice No.</t>
        </is>
      </c>
      <c r="C3" s="4" t="inlineStr">
        <is>
          <t>Invoice Date</t>
        </is>
      </c>
      <c r="D3" s="4" t="inlineStr">
        <is>
          <t>Due Date</t>
        </is>
      </c>
      <c r="E3" s="4" t="inlineStr">
        <is>
          <t>Invoice Amount</t>
        </is>
      </c>
      <c r="F3" s="4" t="inlineStr">
        <is>
          <t>Amount Paid</t>
        </is>
      </c>
      <c r="G3" s="4" t="inlineStr">
        <is>
          <t>Balance</t>
        </is>
      </c>
      <c r="H3" s="4" t="inlineStr">
        <is>
          <t>Days Overdue</t>
        </is>
      </c>
      <c r="I3" s="4" t="inlineStr">
        <is>
          <t>Aging Category</t>
        </is>
      </c>
      <c r="J3" s="4" t="inlineStr">
        <is>
          <t>Status</t>
        </is>
      </c>
    </row>
    <row r="4">
      <c r="A4" s="2" t="inlineStr">
        <is>
          <t>ABC Trading LLC</t>
        </is>
      </c>
      <c r="B4" s="2" t="inlineStr">
        <is>
          <t>INV-001</t>
        </is>
      </c>
      <c r="C4" s="5" t="n">
        <v>46204</v>
      </c>
      <c r="D4" s="5" t="n">
        <v>46234</v>
      </c>
      <c r="E4" s="6" t="n">
        <v>2500</v>
      </c>
      <c r="F4" s="6" t="n">
        <v>2500</v>
      </c>
      <c r="G4" s="6">
        <f>E4-F4</f>
        <v/>
      </c>
      <c r="H4" s="2">
        <f>IF(G4=0,0,MAX(0,TODAY()-D4))</f>
        <v/>
      </c>
      <c r="I4" s="2">
        <f>IF(G4=0,"Paid",IF(H4=0,"Current",IF(H4&lt;=30,"1-30 Days",IF(H4&lt;=60,"31-60 Days",IF(H4&lt;=90,"61-90 Days","90+ Days")))))</f>
        <v/>
      </c>
      <c r="J4" s="2">
        <f>IF(G4=0,"Paid",IF(H4&gt;0,"Overdue","Due"))</f>
        <v/>
      </c>
    </row>
    <row r="5">
      <c r="A5" s="2" t="inlineStr">
        <is>
          <t>XYZ Services</t>
        </is>
      </c>
      <c r="B5" s="2" t="inlineStr">
        <is>
          <t>INV-002</t>
        </is>
      </c>
      <c r="C5" s="5" t="n">
        <v>46208</v>
      </c>
      <c r="D5" s="5" t="n">
        <v>46238</v>
      </c>
      <c r="E5" s="6" t="n">
        <v>1800</v>
      </c>
      <c r="F5" s="6" t="n">
        <v>500</v>
      </c>
      <c r="G5" s="6">
        <f>E5-F5</f>
        <v/>
      </c>
      <c r="H5" s="2">
        <f>IF(G5=0,0,MAX(0,TODAY()-D5))</f>
        <v/>
      </c>
      <c r="I5" s="2">
        <f>IF(G5=0,"Paid",IF(H5=0,"Current",IF(H5&lt;=30,"1-30 Days",IF(H5&lt;=60,"31-60 Days",IF(H5&lt;=90,"61-90 Days","90+ Days")))))</f>
        <v/>
      </c>
      <c r="J5" s="2">
        <f>IF(G5=0,"Paid",IF(H5&gt;0,"Overdue","Due"))</f>
        <v/>
      </c>
    </row>
    <row r="6">
      <c r="A6" s="2" t="inlineStr">
        <is>
          <t>Green Star Ltd</t>
        </is>
      </c>
      <c r="B6" s="2" t="inlineStr">
        <is>
          <t>INV-003</t>
        </is>
      </c>
      <c r="C6" s="5" t="n">
        <v>46213</v>
      </c>
      <c r="D6" s="5" t="n">
        <v>46243</v>
      </c>
      <c r="E6" s="6" t="n">
        <v>3200</v>
      </c>
      <c r="F6" s="6" t="n">
        <v>0</v>
      </c>
      <c r="G6" s="6">
        <f>E6-F6</f>
        <v/>
      </c>
      <c r="H6" s="2">
        <f>IF(G6=0,0,MAX(0,TODAY()-D6))</f>
        <v/>
      </c>
      <c r="I6" s="2">
        <f>IF(G6=0,"Paid",IF(H6=0,"Current",IF(H6&lt;=30,"1-30 Days",IF(H6&lt;=60,"31-60 Days",IF(H6&lt;=90,"61-90 Days","90+ Days")))))</f>
        <v/>
      </c>
      <c r="J6" s="2">
        <f>IF(G6=0,"Paid",IF(H6&gt;0,"Overdue","Due"))</f>
        <v/>
      </c>
    </row>
    <row r="7">
      <c r="A7" s="2" t="inlineStr">
        <is>
          <t>Bright Office Supplies</t>
        </is>
      </c>
      <c r="B7" s="2" t="inlineStr">
        <is>
          <t>INV-004</t>
        </is>
      </c>
      <c r="C7" s="5" t="n">
        <v>46188</v>
      </c>
      <c r="D7" s="5" t="n">
        <v>46218</v>
      </c>
      <c r="E7" s="6" t="n">
        <v>1200</v>
      </c>
      <c r="F7" s="6" t="n">
        <v>0</v>
      </c>
      <c r="G7" s="6">
        <f>E7-F7</f>
        <v/>
      </c>
      <c r="H7" s="2">
        <f>IF(G7=0,0,MAX(0,TODAY()-D7))</f>
        <v/>
      </c>
      <c r="I7" s="2">
        <f>IF(G7=0,"Paid",IF(H7=0,"Current",IF(H7&lt;=30,"1-30 Days",IF(H7&lt;=60,"31-60 Days",IF(H7&lt;=90,"61-90 Days","90+ Days")))))</f>
        <v/>
      </c>
      <c r="J7" s="2">
        <f>IF(G7=0,"Paid",IF(H7&gt;0,"Overdue","Due"))</f>
        <v/>
      </c>
    </row>
    <row r="8">
      <c r="A8" s="2" t="inlineStr">
        <is>
          <t>Metro Facilities</t>
        </is>
      </c>
      <c r="B8" s="2" t="inlineStr">
        <is>
          <t>INV-005</t>
        </is>
      </c>
      <c r="C8" s="5" t="n">
        <v>46162</v>
      </c>
      <c r="D8" s="5" t="n">
        <v>46192</v>
      </c>
      <c r="E8" s="6" t="n">
        <v>4500</v>
      </c>
      <c r="F8" s="6" t="n">
        <v>1500</v>
      </c>
      <c r="G8" s="6">
        <f>E8-F8</f>
        <v/>
      </c>
      <c r="H8" s="2">
        <f>IF(G8=0,0,MAX(0,TODAY()-D8))</f>
        <v/>
      </c>
      <c r="I8" s="2">
        <f>IF(G8=0,"Paid",IF(H8=0,"Current",IF(H8&lt;=30,"1-30 Days",IF(H8&lt;=60,"31-60 Days",IF(H8&lt;=90,"61-90 Days","90+ Days")))))</f>
        <v/>
      </c>
      <c r="J8" s="2">
        <f>IF(G8=0,"Paid",IF(H8&gt;0,"Overdue","Due"))</f>
        <v/>
      </c>
    </row>
    <row r="9">
      <c r="A9" s="2" t="inlineStr">
        <is>
          <t>Sunrise Services</t>
        </is>
      </c>
      <c r="B9" s="2" t="inlineStr">
        <is>
          <t>INV-006</t>
        </is>
      </c>
      <c r="C9" s="5" t="n">
        <v>46235</v>
      </c>
      <c r="D9" s="5" t="n">
        <v>46265</v>
      </c>
      <c r="E9" s="6" t="n">
        <v>2200</v>
      </c>
      <c r="F9" s="6" t="n">
        <v>0</v>
      </c>
      <c r="G9" s="6">
        <f>E9-F9</f>
        <v/>
      </c>
      <c r="H9" s="2">
        <f>IF(G9=0,0,MAX(0,TODAY()-D9))</f>
        <v/>
      </c>
      <c r="I9" s="2">
        <f>IF(G9=0,"Paid",IF(H9=0,"Current",IF(H9&lt;=30,"1-30 Days",IF(H9&lt;=60,"31-60 Days",IF(H9&lt;=90,"61-90 Days","90+ Days")))))</f>
        <v/>
      </c>
      <c r="J9" s="2">
        <f>IF(G9=0,"Paid",IF(H9&gt;0,"Overdue","Due"))</f>
        <v/>
      </c>
    </row>
    <row r="10">
      <c r="A10" s="2" t="inlineStr">
        <is>
          <t>Prime Solutions</t>
        </is>
      </c>
      <c r="B10" s="2" t="inlineStr">
        <is>
          <t>INV-007</t>
        </is>
      </c>
      <c r="C10" s="5" t="n">
        <v>46174</v>
      </c>
      <c r="D10" s="5" t="n">
        <v>46203</v>
      </c>
      <c r="E10" s="6" t="n">
        <v>3800</v>
      </c>
      <c r="F10" s="6" t="n">
        <v>3800</v>
      </c>
      <c r="G10" s="6">
        <f>E10-F10</f>
        <v/>
      </c>
      <c r="H10" s="2">
        <f>IF(G10=0,0,MAX(0,TODAY()-D10))</f>
        <v/>
      </c>
      <c r="I10" s="2">
        <f>IF(G10=0,"Paid",IF(H10=0,"Current",IF(H10&lt;=30,"1-30 Days",IF(H10&lt;=60,"31-60 Days",IF(H10&lt;=90,"61-90 Days","90+ Days")))))</f>
        <v/>
      </c>
      <c r="J10" s="2">
        <f>IF(G10=0,"Paid",IF(H10&gt;0,"Overdue","Due"))</f>
        <v/>
      </c>
    </row>
    <row r="11">
      <c r="A11" s="2" t="inlineStr">
        <is>
          <t>North Star Trading</t>
        </is>
      </c>
      <c r="B11" s="2" t="inlineStr">
        <is>
          <t>INV-008</t>
        </is>
      </c>
      <c r="C11" s="5" t="n">
        <v>46122</v>
      </c>
      <c r="D11" s="5" t="n">
        <v>46152</v>
      </c>
      <c r="E11" s="6" t="n">
        <v>5200</v>
      </c>
      <c r="F11" s="6" t="n">
        <v>1000</v>
      </c>
      <c r="G11" s="6">
        <f>E11-F11</f>
        <v/>
      </c>
      <c r="H11" s="2">
        <f>IF(G11=0,0,MAX(0,TODAY()-D11))</f>
        <v/>
      </c>
      <c r="I11" s="2">
        <f>IF(G11=0,"Paid",IF(H11=0,"Current",IF(H11&lt;=30,"1-30 Days",IF(H11&lt;=60,"31-60 Days",IF(H11&lt;=90,"61-90 Days","90+ Days")))))</f>
        <v/>
      </c>
      <c r="J11" s="2">
        <f>IF(G11=0,"Paid",IF(H11&gt;0,"Overdue","Due"))</f>
        <v/>
      </c>
    </row>
  </sheetData>
  <autoFilter ref="A3:J11"/>
  <mergeCells count="2">
    <mergeCell ref="A1:J1"/>
    <mergeCell ref="A2:J2"/>
  </mergeCells>
  <conditionalFormatting sqref="G4:G11">
    <cfRule type="cellIs" priority="1" operator="greaterThan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Accounts Receivable Dashboard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4" t="inlineStr">
        <is>
          <t>Total Invoiced</t>
        </is>
      </c>
      <c r="B3" s="6">
        <f>SUM('AR Aging Report'!E4:E11)</f>
        <v/>
      </c>
      <c r="C3" s="2" t="n"/>
      <c r="D3" s="2" t="inlineStr">
        <is>
          <t>Aging Category</t>
        </is>
      </c>
      <c r="E3" s="2" t="inlineStr">
        <is>
          <t>Outstanding</t>
        </is>
      </c>
    </row>
    <row r="4">
      <c r="A4" s="4" t="inlineStr">
        <is>
          <t>Total Paid</t>
        </is>
      </c>
      <c r="B4" s="6">
        <f>SUM('AR Aging Report'!F4:F11)</f>
        <v/>
      </c>
      <c r="C4" s="2" t="n"/>
      <c r="D4" s="2" t="inlineStr">
        <is>
          <t>Current</t>
        </is>
      </c>
      <c r="E4" s="6">
        <f>SUMIF('AR Aging Report'!I4:I11,D4,'AR Aging Report'!G4:G11)</f>
        <v/>
      </c>
    </row>
    <row r="5">
      <c r="A5" s="4" t="inlineStr">
        <is>
          <t>Total Outstanding</t>
        </is>
      </c>
      <c r="B5" s="6">
        <f>SUM('AR Aging Report'!G4:G11)</f>
        <v/>
      </c>
      <c r="C5" s="2" t="n"/>
      <c r="D5" s="2" t="inlineStr">
        <is>
          <t>1-30 Days</t>
        </is>
      </c>
      <c r="E5" s="6">
        <f>SUMIF('AR Aging Report'!I4:I11,D5,'AR Aging Report'!G4:G11)</f>
        <v/>
      </c>
    </row>
    <row r="6">
      <c r="A6" s="4" t="inlineStr">
        <is>
          <t>Overdue Balance</t>
        </is>
      </c>
      <c r="B6" s="6">
        <f>SUMIF('AR Aging Report'!J4:J11,"Overdue",'AR Aging Report'!G4:G11)</f>
        <v/>
      </c>
      <c r="C6" s="2" t="n"/>
      <c r="D6" s="2" t="inlineStr">
        <is>
          <t>31-60 Days</t>
        </is>
      </c>
      <c r="E6" s="6">
        <f>SUMIF('AR Aging Report'!I4:I11,D6,'AR Aging Report'!G4:G11)</f>
        <v/>
      </c>
    </row>
    <row r="7">
      <c r="A7" s="2" t="n"/>
      <c r="B7" s="2" t="n"/>
      <c r="C7" s="2" t="n"/>
      <c r="D7" s="2" t="inlineStr">
        <is>
          <t>61-90 Days</t>
        </is>
      </c>
      <c r="E7" s="6">
        <f>SUMIF('AR Aging Report'!I4:I11,D7,'AR Aging Report'!G4:G11)</f>
        <v/>
      </c>
    </row>
    <row r="8">
      <c r="A8" s="2" t="n"/>
      <c r="B8" s="2" t="n"/>
      <c r="C8" s="2" t="n"/>
      <c r="D8" s="2" t="inlineStr">
        <is>
          <t>90+ Days</t>
        </is>
      </c>
      <c r="E8" s="6">
        <f>SUMIF('AR Aging Report'!I4:I11,D8,'AR Aging Report'!G4:G11)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2026-08-14T12:24:52Z</dcterms:created>
  <dcterms:modified xmlns:dcterms="http://purl.org/dc/terms/" xmlns:xsi="http://www.w3.org/2001/XMLSchema-instance" xsi:type="dcterms:W3CDTF">2026-08-14T12:24:52Z</dcterms:modified>
</cp:coreProperties>
</file>