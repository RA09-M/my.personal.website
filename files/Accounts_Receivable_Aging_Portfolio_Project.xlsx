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charts/chart1.xml" ContentType="application/vnd.openxmlformats-officedocument.drawingml.char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600" yWindow="570" windowWidth="27660" windowHeight="11955"/>
  </bookViews>
  <sheets>
    <sheet name="AR Aging Report" sheetId="1" r:id="rId1"/>
    <sheet name="Dashboard" sheetId="2" r:id="rId2"/>
  </sheets>
  <definedNames>
    <definedName name="_xlnm._FilterDatabase" localSheetId="0" hidden="1">'AR Aging Report'!$A$3:$J$11</definedName>
  </definedNames>
  <calcPr calcId="124519"/>
</workbook>
</file>

<file path=xl/calcChain.xml><?xml version="1.0" encoding="utf-8"?>
<calcChain xmlns="http://schemas.openxmlformats.org/spreadsheetml/2006/main">
  <c r="B4" i="2"/>
  <c r="B3"/>
  <c r="G11" i="1"/>
  <c r="H11" s="1"/>
  <c r="J10"/>
  <c r="I10"/>
  <c r="H10"/>
  <c r="G10"/>
  <c r="H9"/>
  <c r="I9" s="1"/>
  <c r="G9"/>
  <c r="G8"/>
  <c r="H8" s="1"/>
  <c r="H7"/>
  <c r="I7" s="1"/>
  <c r="G7"/>
  <c r="H6"/>
  <c r="I6" s="1"/>
  <c r="G6"/>
  <c r="G5"/>
  <c r="H5" s="1"/>
  <c r="J4"/>
  <c r="I4"/>
  <c r="H4"/>
  <c r="G4"/>
  <c r="B5" i="2" s="1"/>
  <c r="J6" i="1" l="1"/>
  <c r="J7"/>
  <c r="J9"/>
  <c r="J5"/>
  <c r="J8"/>
  <c r="J11"/>
  <c r="I5"/>
  <c r="I8"/>
  <c r="I11"/>
  <c r="E5" i="2" l="1"/>
  <c r="E6"/>
  <c r="E7"/>
  <c r="B6"/>
  <c r="E4"/>
  <c r="E8"/>
</calcChain>
</file>

<file path=xl/sharedStrings.xml><?xml version="1.0" encoding="utf-8"?>
<sst xmlns="http://schemas.openxmlformats.org/spreadsheetml/2006/main" count="40" uniqueCount="39">
  <si>
    <t>Accounts Receivable Aging Report</t>
  </si>
  <si>
    <t>Sample Portfolio Project – Fictional Data</t>
  </si>
  <si>
    <t>Customer</t>
  </si>
  <si>
    <t>Invoice No.</t>
  </si>
  <si>
    <t>Invoice Date</t>
  </si>
  <si>
    <t>Due Date</t>
  </si>
  <si>
    <t>Invoice Amount</t>
  </si>
  <si>
    <t>Amount Paid</t>
  </si>
  <si>
    <t>Balance</t>
  </si>
  <si>
    <t>Days Overdue</t>
  </si>
  <si>
    <t>Aging Category</t>
  </si>
  <si>
    <t>Status</t>
  </si>
  <si>
    <t>INV-001</t>
  </si>
  <si>
    <t>INV-002</t>
  </si>
  <si>
    <t>INV-003</t>
  </si>
  <si>
    <t>INV-004</t>
  </si>
  <si>
    <t>INV-005</t>
  </si>
  <si>
    <t>INV-006</t>
  </si>
  <si>
    <t>Prime Solutions</t>
  </si>
  <si>
    <t>INV-007</t>
  </si>
  <si>
    <t>INV-008</t>
  </si>
  <si>
    <t>Accounts Receivable Dashboard</t>
  </si>
  <si>
    <t>Total Invoiced</t>
  </si>
  <si>
    <t>Outstanding</t>
  </si>
  <si>
    <t>Total Paid</t>
  </si>
  <si>
    <t>Current</t>
  </si>
  <si>
    <t>Total Outstanding</t>
  </si>
  <si>
    <t>1-30 Days</t>
  </si>
  <si>
    <t>Overdue Balance</t>
  </si>
  <si>
    <t>31-60 Days</t>
  </si>
  <si>
    <t>61-90 Days</t>
  </si>
  <si>
    <t>90+ Days</t>
  </si>
  <si>
    <t>CBD Trading LLC</t>
  </si>
  <si>
    <t>STU Services</t>
  </si>
  <si>
    <t>Yellow Star Ltd</t>
  </si>
  <si>
    <t>RAM Office Supplies</t>
  </si>
  <si>
    <t>Sunset Services</t>
  </si>
  <si>
    <t>West Star Trading</t>
  </si>
  <si>
    <t>Ultimate Facilities</t>
  </si>
</sst>
</file>

<file path=xl/styles.xml><?xml version="1.0" encoding="utf-8"?>
<styleSheet xmlns="http://schemas.openxmlformats.org/spreadsheetml/2006/main">
  <numFmts count="1">
    <numFmt numFmtId="165" formatCode="\$#,##0.00"/>
  </numFmts>
  <fonts count="4">
    <font>
      <sz val="11"/>
      <color theme="1"/>
      <name val="Calibri"/>
      <family val="2"/>
      <scheme val="minor"/>
    </font>
    <font>
      <b/>
      <sz val="18"/>
      <name val="Calibri"/>
    </font>
    <font>
      <i/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 applyAlignment="1">
      <alignment vertical="center"/>
    </xf>
    <xf numFmtId="0" fontId="0" fillId="0" borderId="1" xfId="0" applyBorder="1" applyAlignment="1">
      <alignment vertical="center"/>
    </xf>
    <xf numFmtId="0" fontId="3" fillId="0" borderId="1" xfId="0" applyFont="1" applyBorder="1" applyAlignment="1">
      <alignment vertical="center"/>
    </xf>
    <xf numFmtId="14" fontId="0" fillId="0" borderId="1" xfId="0" applyNumberFormat="1" applyBorder="1" applyAlignment="1">
      <alignment vertical="center"/>
    </xf>
    <xf numFmtId="165" fontId="0" fillId="0" borderId="1" xfId="0" applyNumberFormat="1" applyBorder="1" applyAlignment="1">
      <alignment vertical="center"/>
    </xf>
    <xf numFmtId="0" fontId="1" fillId="0" borderId="1" xfId="0" applyFont="1" applyBorder="1" applyAlignment="1">
      <alignment vertical="center"/>
    </xf>
    <xf numFmtId="0" fontId="0" fillId="0" borderId="1" xfId="0" applyBorder="1" applyAlignment="1">
      <alignment vertical="center"/>
    </xf>
    <xf numFmtId="0" fontId="2" fillId="0" borderId="1" xfId="0" applyFont="1" applyBorder="1" applyAlignment="1">
      <alignment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GB"/>
  <c:chart>
    <c:title>
      <c:tx>
        <c:rich>
          <a:bodyPr/>
          <a:lstStyle/>
          <a:p>
            <a:pPr>
              <a:defRPr/>
            </a:pPr>
            <a:r>
              <a:rPr lang="en-GB"/>
              <a:t>Outstanding Receivables by Aging Category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Dashboard!$E$3</c:f>
              <c:strCache>
                <c:ptCount val="1"/>
                <c:pt idx="0">
                  <c:v>Outstanding</c:v>
                </c:pt>
              </c:strCache>
            </c:strRef>
          </c:tx>
          <c:spPr>
            <a:ln>
              <a:prstDash val="solid"/>
            </a:ln>
          </c:spPr>
          <c:cat>
            <c:strRef>
              <c:f>Dashboard!$D$4:$D$8</c:f>
              <c:strCache>
                <c:ptCount val="5"/>
                <c:pt idx="0">
                  <c:v>Current</c:v>
                </c:pt>
                <c:pt idx="1">
                  <c:v>1-30 Days</c:v>
                </c:pt>
                <c:pt idx="2">
                  <c:v>31-60 Days</c:v>
                </c:pt>
                <c:pt idx="3">
                  <c:v>61-90 Days</c:v>
                </c:pt>
                <c:pt idx="4">
                  <c:v>90+ Days</c:v>
                </c:pt>
              </c:strCache>
            </c:strRef>
          </c:cat>
          <c:val>
            <c:numRef>
              <c:f>Dashboard!$E$4:$E$8</c:f>
              <c:numCache>
                <c:formatCode>\$#,##0.00</c:formatCode>
                <c:ptCount val="5"/>
                <c:pt idx="0">
                  <c:v>2200</c:v>
                </c:pt>
                <c:pt idx="1">
                  <c:v>4500</c:v>
                </c:pt>
                <c:pt idx="2">
                  <c:v>4200</c:v>
                </c:pt>
                <c:pt idx="3">
                  <c:v>0</c:v>
                </c:pt>
                <c:pt idx="4">
                  <c:v>4200</c:v>
                </c:pt>
              </c:numCache>
            </c:numRef>
          </c:val>
        </c:ser>
        <c:axId val="187044224"/>
        <c:axId val="187046528"/>
      </c:barChart>
      <c:catAx>
        <c:axId val="187044224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Aging Category</a:t>
                </a:r>
              </a:p>
            </c:rich>
          </c:tx>
          <c:layout/>
        </c:title>
        <c:majorTickMark val="none"/>
        <c:tickLblPos val="nextTo"/>
        <c:crossAx val="187046528"/>
        <c:crosses val="autoZero"/>
        <c:lblAlgn val="ctr"/>
        <c:lblOffset val="100"/>
      </c:catAx>
      <c:valAx>
        <c:axId val="187046528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Amount</a:t>
                </a:r>
              </a:p>
            </c:rich>
          </c:tx>
          <c:layout/>
        </c:title>
        <c:numFmt formatCode="\$#,##0.00" sourceLinked="1"/>
        <c:majorTickMark val="none"/>
        <c:tickLblPos val="nextTo"/>
        <c:crossAx val="187044224"/>
        <c:crosses val="autoZero"/>
        <c:crossBetween val="between"/>
      </c:valAx>
    </c:plotArea>
    <c:legend>
      <c:legendPos val="r"/>
      <c:layout/>
    </c:legend>
    <c:plotVisOnly val="1"/>
    <c:dispBlanksAs val="gap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2</xdr:row>
      <xdr:rowOff>0</xdr:rowOff>
    </xdr:from>
    <xdr:ext cx="5040000" cy="2880000"/>
    <xdr:graphicFrame macro="">
      <xdr:nvGraphicFramePr>
        <xdr:cNvPr id="0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11"/>
  <sheetViews>
    <sheetView tabSelected="1" workbookViewId="0">
      <pane ySplit="3" topLeftCell="A4" activePane="bottomLeft" state="frozen"/>
      <selection pane="bottomLeft" activeCell="B9" sqref="B9"/>
    </sheetView>
  </sheetViews>
  <sheetFormatPr defaultRowHeight="15"/>
  <cols>
    <col min="1" max="1" width="24" customWidth="1"/>
    <col min="2" max="4" width="14" customWidth="1"/>
    <col min="5" max="5" width="16" customWidth="1"/>
    <col min="6" max="8" width="14" customWidth="1"/>
    <col min="9" max="9" width="16" customWidth="1"/>
    <col min="10" max="10" width="14" customWidth="1"/>
  </cols>
  <sheetData>
    <row r="1" spans="1:10" ht="23.25">
      <c r="A1" s="6" t="s">
        <v>0</v>
      </c>
      <c r="B1" s="7"/>
      <c r="C1" s="7"/>
      <c r="D1" s="7"/>
      <c r="E1" s="7"/>
      <c r="F1" s="7"/>
      <c r="G1" s="7"/>
      <c r="H1" s="7"/>
      <c r="I1" s="7"/>
      <c r="J1" s="7"/>
    </row>
    <row r="2" spans="1:10">
      <c r="A2" s="8" t="s">
        <v>1</v>
      </c>
      <c r="B2" s="7"/>
      <c r="C2" s="7"/>
      <c r="D2" s="7"/>
      <c r="E2" s="7"/>
      <c r="F2" s="7"/>
      <c r="G2" s="7"/>
      <c r="H2" s="7"/>
      <c r="I2" s="7"/>
      <c r="J2" s="7"/>
    </row>
    <row r="3" spans="1:10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  <c r="G3" s="3" t="s">
        <v>8</v>
      </c>
      <c r="H3" s="3" t="s">
        <v>9</v>
      </c>
      <c r="I3" s="3" t="s">
        <v>10</v>
      </c>
      <c r="J3" s="3" t="s">
        <v>11</v>
      </c>
    </row>
    <row r="4" spans="1:10">
      <c r="A4" s="2" t="s">
        <v>32</v>
      </c>
      <c r="B4" s="2" t="s">
        <v>12</v>
      </c>
      <c r="C4" s="4">
        <v>46204</v>
      </c>
      <c r="D4" s="4">
        <v>46234</v>
      </c>
      <c r="E4" s="5">
        <v>2500</v>
      </c>
      <c r="F4" s="5">
        <v>2500</v>
      </c>
      <c r="G4" s="5">
        <f t="shared" ref="G4:G11" si="0">E4-F4</f>
        <v>0</v>
      </c>
      <c r="H4" s="2">
        <f t="shared" ref="H4:H11" ca="1" si="1">IF(G4=0,0,MAX(0,TODAY()-D4))</f>
        <v>0</v>
      </c>
      <c r="I4" s="2" t="str">
        <f t="shared" ref="I4:I11" si="2">IF(G4=0,"Paid",IF(H4=0,"Current",IF(H4&lt;=30,"1-30 Days",IF(H4&lt;=60,"31-60 Days",IF(H4&lt;=90,"61-90 Days","90+ Days")))))</f>
        <v>Paid</v>
      </c>
      <c r="J4" s="2" t="str">
        <f t="shared" ref="J4:J11" si="3">IF(G4=0,"Paid",IF(H4&gt;0,"Overdue","Due"))</f>
        <v>Paid</v>
      </c>
    </row>
    <row r="5" spans="1:10">
      <c r="A5" s="2" t="s">
        <v>33</v>
      </c>
      <c r="B5" s="2" t="s">
        <v>13</v>
      </c>
      <c r="C5" s="4">
        <v>46208</v>
      </c>
      <c r="D5" s="4">
        <v>46238</v>
      </c>
      <c r="E5" s="5">
        <v>1800</v>
      </c>
      <c r="F5" s="5">
        <v>500</v>
      </c>
      <c r="G5" s="5">
        <f t="shared" si="0"/>
        <v>1300</v>
      </c>
      <c r="H5" s="2">
        <f t="shared" ca="1" si="1"/>
        <v>13</v>
      </c>
      <c r="I5" s="2" t="str">
        <f t="shared" ca="1" si="2"/>
        <v>1-30 Days</v>
      </c>
      <c r="J5" s="2" t="str">
        <f t="shared" ca="1" si="3"/>
        <v>Overdue</v>
      </c>
    </row>
    <row r="6" spans="1:10">
      <c r="A6" s="2" t="s">
        <v>34</v>
      </c>
      <c r="B6" s="2" t="s">
        <v>14</v>
      </c>
      <c r="C6" s="4">
        <v>46213</v>
      </c>
      <c r="D6" s="4">
        <v>46243</v>
      </c>
      <c r="E6" s="5">
        <v>3200</v>
      </c>
      <c r="F6" s="5">
        <v>0</v>
      </c>
      <c r="G6" s="5">
        <f t="shared" si="0"/>
        <v>3200</v>
      </c>
      <c r="H6" s="2">
        <f t="shared" ca="1" si="1"/>
        <v>8</v>
      </c>
      <c r="I6" s="2" t="str">
        <f t="shared" ca="1" si="2"/>
        <v>1-30 Days</v>
      </c>
      <c r="J6" s="2" t="str">
        <f t="shared" ca="1" si="3"/>
        <v>Overdue</v>
      </c>
    </row>
    <row r="7" spans="1:10">
      <c r="A7" s="2" t="s">
        <v>35</v>
      </c>
      <c r="B7" s="2" t="s">
        <v>15</v>
      </c>
      <c r="C7" s="4">
        <v>46188</v>
      </c>
      <c r="D7" s="4">
        <v>46218</v>
      </c>
      <c r="E7" s="5">
        <v>1200</v>
      </c>
      <c r="F7" s="5">
        <v>0</v>
      </c>
      <c r="G7" s="5">
        <f t="shared" si="0"/>
        <v>1200</v>
      </c>
      <c r="H7" s="2">
        <f t="shared" ca="1" si="1"/>
        <v>33</v>
      </c>
      <c r="I7" s="2" t="str">
        <f t="shared" ca="1" si="2"/>
        <v>31-60 Days</v>
      </c>
      <c r="J7" s="2" t="str">
        <f t="shared" ca="1" si="3"/>
        <v>Overdue</v>
      </c>
    </row>
    <row r="8" spans="1:10">
      <c r="A8" s="2" t="s">
        <v>38</v>
      </c>
      <c r="B8" s="2" t="s">
        <v>16</v>
      </c>
      <c r="C8" s="4">
        <v>46162</v>
      </c>
      <c r="D8" s="4">
        <v>46192</v>
      </c>
      <c r="E8" s="5">
        <v>4500</v>
      </c>
      <c r="F8" s="5">
        <v>1500</v>
      </c>
      <c r="G8" s="5">
        <f t="shared" si="0"/>
        <v>3000</v>
      </c>
      <c r="H8" s="2">
        <f t="shared" ca="1" si="1"/>
        <v>59</v>
      </c>
      <c r="I8" s="2" t="str">
        <f t="shared" ca="1" si="2"/>
        <v>31-60 Days</v>
      </c>
      <c r="J8" s="2" t="str">
        <f t="shared" ca="1" si="3"/>
        <v>Overdue</v>
      </c>
    </row>
    <row r="9" spans="1:10">
      <c r="A9" s="2" t="s">
        <v>36</v>
      </c>
      <c r="B9" s="2" t="s">
        <v>17</v>
      </c>
      <c r="C9" s="4">
        <v>46235</v>
      </c>
      <c r="D9" s="4">
        <v>46265</v>
      </c>
      <c r="E9" s="5">
        <v>2200</v>
      </c>
      <c r="F9" s="5">
        <v>0</v>
      </c>
      <c r="G9" s="5">
        <f t="shared" si="0"/>
        <v>2200</v>
      </c>
      <c r="H9" s="2">
        <f t="shared" ca="1" si="1"/>
        <v>0</v>
      </c>
      <c r="I9" s="2" t="str">
        <f t="shared" ca="1" si="2"/>
        <v>Current</v>
      </c>
      <c r="J9" s="2" t="str">
        <f t="shared" ca="1" si="3"/>
        <v>Due</v>
      </c>
    </row>
    <row r="10" spans="1:10">
      <c r="A10" s="2" t="s">
        <v>18</v>
      </c>
      <c r="B10" s="2" t="s">
        <v>19</v>
      </c>
      <c r="C10" s="4">
        <v>46174</v>
      </c>
      <c r="D10" s="4">
        <v>46203</v>
      </c>
      <c r="E10" s="5">
        <v>3800</v>
      </c>
      <c r="F10" s="5">
        <v>3800</v>
      </c>
      <c r="G10" s="5">
        <f t="shared" si="0"/>
        <v>0</v>
      </c>
      <c r="H10" s="2">
        <f t="shared" ca="1" si="1"/>
        <v>0</v>
      </c>
      <c r="I10" s="2" t="str">
        <f t="shared" si="2"/>
        <v>Paid</v>
      </c>
      <c r="J10" s="2" t="str">
        <f t="shared" si="3"/>
        <v>Paid</v>
      </c>
    </row>
    <row r="11" spans="1:10">
      <c r="A11" s="2" t="s">
        <v>37</v>
      </c>
      <c r="B11" s="2" t="s">
        <v>20</v>
      </c>
      <c r="C11" s="4">
        <v>46122</v>
      </c>
      <c r="D11" s="4">
        <v>46152</v>
      </c>
      <c r="E11" s="5">
        <v>5200</v>
      </c>
      <c r="F11" s="5">
        <v>1000</v>
      </c>
      <c r="G11" s="5">
        <f t="shared" si="0"/>
        <v>4200</v>
      </c>
      <c r="H11" s="2">
        <f t="shared" ca="1" si="1"/>
        <v>99</v>
      </c>
      <c r="I11" s="2" t="str">
        <f t="shared" ca="1" si="2"/>
        <v>90+ Days</v>
      </c>
      <c r="J11" s="2" t="str">
        <f t="shared" ca="1" si="3"/>
        <v>Overdue</v>
      </c>
    </row>
  </sheetData>
  <autoFilter ref="A3:J11"/>
  <mergeCells count="2">
    <mergeCell ref="A1:J1"/>
    <mergeCell ref="A2:J2"/>
  </mergeCells>
  <conditionalFormatting sqref="G4:G11">
    <cfRule type="cellIs" priority="1" operator="greaterThan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>
  <dimension ref="A1:E8"/>
  <sheetViews>
    <sheetView workbookViewId="0">
      <selection activeCell="E20" sqref="E20"/>
    </sheetView>
  </sheetViews>
  <sheetFormatPr defaultRowHeight="15"/>
  <cols>
    <col min="1" max="5" width="24" customWidth="1"/>
  </cols>
  <sheetData>
    <row r="1" spans="1:5" ht="23.25">
      <c r="A1" s="1" t="s">
        <v>21</v>
      </c>
      <c r="B1" s="2"/>
      <c r="C1" s="2"/>
      <c r="D1" s="2"/>
      <c r="E1" s="2"/>
    </row>
    <row r="2" spans="1:5">
      <c r="A2" s="2"/>
      <c r="B2" s="2"/>
      <c r="C2" s="2"/>
      <c r="D2" s="2"/>
      <c r="E2" s="2"/>
    </row>
    <row r="3" spans="1:5">
      <c r="A3" s="3" t="s">
        <v>22</v>
      </c>
      <c r="B3" s="5">
        <f>SUM('AR Aging Report'!E4:E11)</f>
        <v>24400</v>
      </c>
      <c r="C3" s="2"/>
      <c r="D3" s="2" t="s">
        <v>10</v>
      </c>
      <c r="E3" s="2" t="s">
        <v>23</v>
      </c>
    </row>
    <row r="4" spans="1:5">
      <c r="A4" s="3" t="s">
        <v>24</v>
      </c>
      <c r="B4" s="5">
        <f>SUM('AR Aging Report'!F4:F11)</f>
        <v>9300</v>
      </c>
      <c r="C4" s="2"/>
      <c r="D4" s="2" t="s">
        <v>25</v>
      </c>
      <c r="E4" s="5">
        <f ca="1">SUMIF('AR Aging Report'!I4:I11,D4,'AR Aging Report'!G4:G11)</f>
        <v>2200</v>
      </c>
    </row>
    <row r="5" spans="1:5">
      <c r="A5" s="3" t="s">
        <v>26</v>
      </c>
      <c r="B5" s="5">
        <f>SUM('AR Aging Report'!G4:G11)</f>
        <v>15100</v>
      </c>
      <c r="C5" s="2"/>
      <c r="D5" s="2" t="s">
        <v>27</v>
      </c>
      <c r="E5" s="5">
        <f ca="1">SUMIF('AR Aging Report'!I4:I11,D5,'AR Aging Report'!G4:G11)</f>
        <v>4500</v>
      </c>
    </row>
    <row r="6" spans="1:5">
      <c r="A6" s="3" t="s">
        <v>28</v>
      </c>
      <c r="B6" s="5">
        <f ca="1">SUMIF('AR Aging Report'!J4:J11,"Overdue",'AR Aging Report'!G4:G11)</f>
        <v>12900</v>
      </c>
      <c r="C6" s="2"/>
      <c r="D6" s="2" t="s">
        <v>29</v>
      </c>
      <c r="E6" s="5">
        <f ca="1">SUMIF('AR Aging Report'!I4:I11,D6,'AR Aging Report'!G4:G11)</f>
        <v>4200</v>
      </c>
    </row>
    <row r="7" spans="1:5">
      <c r="A7" s="2"/>
      <c r="B7" s="2"/>
      <c r="C7" s="2"/>
      <c r="D7" s="2" t="s">
        <v>30</v>
      </c>
      <c r="E7" s="5">
        <f ca="1">SUMIF('AR Aging Report'!I4:I11,D7,'AR Aging Report'!G4:G11)</f>
        <v>0</v>
      </c>
    </row>
    <row r="8" spans="1:5">
      <c r="A8" s="2"/>
      <c r="B8" s="2"/>
      <c r="C8" s="2"/>
      <c r="D8" s="2" t="s">
        <v>31</v>
      </c>
      <c r="E8" s="5">
        <f ca="1">SUMIF('AR Aging Report'!I4:I11,D8,'AR Aging Report'!G4:G11)</f>
        <v>4200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AR Aging Report</vt:lpstr>
      <vt:lpstr>Dashboard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HST PC</cp:lastModifiedBy>
  <dcterms:created xsi:type="dcterms:W3CDTF">2026-08-14T12:24:52Z</dcterms:created>
  <dcterms:modified xsi:type="dcterms:W3CDTF">2026-08-17T08:05:14Z</dcterms:modified>
</cp:coreProperties>
</file>